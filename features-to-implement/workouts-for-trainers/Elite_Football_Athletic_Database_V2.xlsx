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ומדריך (Summary)" sheetId="1" state="visible" r:id="rId1"/>
    <sheet xmlns:r="http://schemas.openxmlformats.org/officeDocument/2006/relationships" name="מאגר תרגילים מורחב V2" sheetId="2" state="visible" r:id="rId2"/>
  </sheets>
  <definedNames>
    <definedName name="_xlnm._FilterDatabase" localSheetId="1" hidden="1">'מאגר תרגילים מורחב V2'!$A$1:$G$70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97D"/>
      <sz val="16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rightToLeft="1" workbookViewId="0">
      <selection activeCell="A1" sqref="A1"/>
    </sheetView>
  </sheetViews>
  <sheetFormatPr baseColWidth="8" defaultRowHeight="15"/>
  <cols>
    <col width="85" customWidth="1" min="1" max="1"/>
    <col width="25" customWidth="1" min="2" max="2"/>
  </cols>
  <sheetData>
    <row r="1">
      <c r="A1" s="1" t="inlineStr">
        <is>
          <t>מאגר תרגילים מורחב ומקצועי לכדורגלנים - גרסה 2</t>
        </is>
      </c>
    </row>
    <row r="2"/>
    <row r="4">
      <c r="A4" s="2" t="inlineStr">
        <is>
          <t>שינויים ותוספות בגרסה זו:</t>
        </is>
      </c>
    </row>
    <row r="5">
      <c r="A5" s="3" t="inlineStr">
        <is>
          <t>1. הרחבה מסיבית של קטגוריית הכוח (פלג גוף תחתון ועליון) עם תרגילים מתקדמים כמו סקוואט זאצ'ר, פשיטות הפוכות, חתירות פנדליי ותרגילי סולאוס ממוקדים.</t>
        </is>
      </c>
    </row>
    <row r="6">
      <c r="A6" s="3" t="inlineStr">
        <is>
          <t>2. תוספת תרגילי זריזות תגובתית (Y-Drill) וחלוקת קשב עצבי בקואורדינציה.</t>
        </is>
      </c>
    </row>
    <row r="7">
      <c r="A7" s="3" t="inlineStr">
        <is>
          <t>3. הוספת פרוטוקולים אירוביים קלאסיים מעולם הכדורגל (כמו 4x4 דקות בדופק מטרה לשיפור ה-VO2 Max) וגרירות מזחלת לאחור לסיבולת שריר מונעת פציעות.</t>
        </is>
      </c>
    </row>
    <row r="8">
      <c r="A8" s="3" t="inlineStr">
        <is>
          <t>4. מומלץ להשתמש בכפתורי הסינון בטאב המאגר כדי לבנות תוכניות אימון תקופתיות (ליניאריות או אסימטריות).</t>
        </is>
      </c>
    </row>
    <row r="11">
      <c r="A11" s="2" t="inlineStr">
        <is>
          <t>סטטיסטיקת המאגר המורחב:</t>
        </is>
      </c>
    </row>
    <row r="12">
      <c r="A12" s="4" t="inlineStr">
        <is>
          <t>קטגוריה</t>
        </is>
      </c>
      <c r="B12" s="4" t="inlineStr">
        <is>
          <t>מספר תרגילים כיום</t>
        </is>
      </c>
    </row>
    <row r="13">
      <c r="A13" s="5" t="inlineStr">
        <is>
          <t>קואורדינציה וזריזות</t>
        </is>
      </c>
      <c r="B13" s="6">
        <f>COUNTIF('מאגר תרגילים מורחב V2'!A:A, "קואורדינציה וזריזות")</f>
        <v/>
      </c>
    </row>
    <row r="14">
      <c r="A14" s="5" t="inlineStr">
        <is>
          <t>כוח מתפרץ ופליאומטריה</t>
        </is>
      </c>
      <c r="B14" s="6">
        <f>COUNTIF('מאגר תרגילים מורחב V2'!A:A, "כוח מתפרץ ופליאומטריה")</f>
        <v/>
      </c>
    </row>
    <row r="15">
      <c r="A15" s="5" t="inlineStr">
        <is>
          <t>כוח - פלג גוף תחתון</t>
        </is>
      </c>
      <c r="B15" s="6">
        <f>COUNTIF('מאגר תרגילים מורחב V2'!A:A, "כוח - פלג גוף תחתון")</f>
        <v/>
      </c>
    </row>
    <row r="16">
      <c r="A16" s="5" t="inlineStr">
        <is>
          <t>כוח - פלג גוף עליון וליבה</t>
        </is>
      </c>
      <c r="B16" s="6">
        <f>COUNTIF('מאגר תרגילים מורחב V2'!A:A, "כוח - פלג גוף עליון וליבה")</f>
        <v/>
      </c>
    </row>
    <row r="17">
      <c r="A17" s="5" t="inlineStr">
        <is>
          <t>אירובי וסיבולת</t>
        </is>
      </c>
      <c r="B17" s="6">
        <f>COUNTIF('מאגר תרגילים מורחב V2'!A:A, "אירובי וסיבולת")</f>
        <v/>
      </c>
    </row>
    <row r="18">
      <c r="A18" s="7" t="inlineStr">
        <is>
          <t>סך הכל תרגילים במערכת</t>
        </is>
      </c>
      <c r="B18" s="8">
        <f>COUNTA('מאגר תרגילים מורחב V2'!C:C)-1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40" customWidth="1" min="3" max="3"/>
    <col width="50" customWidth="1" min="4" max="4"/>
    <col width="37" customWidth="1" min="5" max="5"/>
    <col width="123" customWidth="1" min="6" max="6"/>
    <col width="55" customWidth="1" min="7" max="7"/>
  </cols>
  <sheetData>
    <row r="1">
      <c r="A1" s="4" t="inlineStr">
        <is>
          <t>קטגוריה ראשית</t>
        </is>
      </c>
      <c r="B1" s="4" t="inlineStr">
        <is>
          <t>תת-קטגוריה / קבוצת שריר</t>
        </is>
      </c>
      <c r="C1" s="4" t="inlineStr">
        <is>
          <t>שם התרגיל (עברית)</t>
        </is>
      </c>
      <c r="D1" s="4" t="inlineStr">
        <is>
          <t>שם התרגיל (אנגלית)</t>
        </is>
      </c>
      <c r="E1" s="4" t="inlineStr">
        <is>
          <t>ציוד נדרש</t>
        </is>
      </c>
      <c r="F1" s="4" t="inlineStr">
        <is>
          <t>דגשים מקצועיים לכדורגלנים</t>
        </is>
      </c>
      <c r="G1" s="4" t="inlineStr">
        <is>
          <t>מטרת על / מניעת פציעות</t>
        </is>
      </c>
    </row>
    <row r="2">
      <c r="A2" s="9" t="inlineStr">
        <is>
          <t>קואורדינציה וזריזות</t>
        </is>
      </c>
      <c r="B2" s="9" t="inlineStr">
        <is>
          <t>סולם זריזות (Agility Ladder)</t>
        </is>
      </c>
      <c r="C2" s="10" t="inlineStr">
        <is>
          <t>איקי שאפל לפנים</t>
        </is>
      </c>
      <c r="D2" s="10" t="inlineStr">
        <is>
          <t>Forward Icky Shuffle</t>
        </is>
      </c>
      <c r="E2" s="9" t="inlineStr">
        <is>
          <t>סולם זריזות</t>
        </is>
      </c>
      <c r="F2" s="10" t="inlineStr">
        <is>
          <t>עבודת רגליים מהירה, הפרדת אגן-כתפיים, שמירה על מרכז כובד נמוך.</t>
        </is>
      </c>
      <c r="G2" s="10" t="inlineStr">
        <is>
          <t>זריזות וקשר עצב-שריר</t>
        </is>
      </c>
    </row>
    <row r="3">
      <c r="A3" s="11" t="inlineStr">
        <is>
          <t>קואורדינציה וזריזות</t>
        </is>
      </c>
      <c r="B3" s="11" t="inlineStr">
        <is>
          <t>סולם זריזות (Agility Ladder)</t>
        </is>
      </c>
      <c r="C3" s="12" t="inlineStr">
        <is>
          <t>שתיים בפנים, שתיים בחוץ הצידה</t>
        </is>
      </c>
      <c r="D3" s="12" t="inlineStr">
        <is>
          <t>Lateral 2-In 2-Out</t>
        </is>
      </c>
      <c r="E3" s="11" t="inlineStr">
        <is>
          <t>סולם זריזות</t>
        </is>
      </c>
      <c r="F3" s="12" t="inlineStr">
        <is>
          <t>תנועה לטרלית מהירה, שיפור קצב צעדים (Cadence).</t>
        </is>
      </c>
      <c r="G3" s="12" t="inlineStr">
        <is>
          <t>זריזות וקשר עצב-שריר</t>
        </is>
      </c>
    </row>
    <row r="4">
      <c r="A4" s="9" t="inlineStr">
        <is>
          <t>קואורדינציה וזריזות</t>
        </is>
      </c>
      <c r="B4" s="9" t="inlineStr">
        <is>
          <t>סולם זריזות (Agility Ladder)</t>
        </is>
      </c>
      <c r="C4" s="10" t="inlineStr">
        <is>
          <t>צעד קריוקי (הצלבות)</t>
        </is>
      </c>
      <c r="D4" s="10" t="inlineStr">
        <is>
          <t>Carioca Drill</t>
        </is>
      </c>
      <c r="E4" s="9" t="inlineStr">
        <is>
          <t>סולם זריזות</t>
        </is>
      </c>
      <c r="F4" s="10" t="inlineStr">
        <is>
          <t>רוטציה של האגן תוך שמירה על פלג גוף עליון יציב קדימה.</t>
        </is>
      </c>
      <c r="G4" s="10" t="inlineStr">
        <is>
          <t>רוטציה ותנועתיות ירך</t>
        </is>
      </c>
    </row>
    <row r="5">
      <c r="A5" s="11" t="inlineStr">
        <is>
          <t>קואורדינציה וזריזות</t>
        </is>
      </c>
      <c r="B5" s="11" t="inlineStr">
        <is>
          <t>סולם זריזות (Agility Ladder)</t>
        </is>
      </c>
      <c r="C5" s="12" t="inlineStr">
        <is>
          <t>קפיצות רגל אחת בסולם</t>
        </is>
      </c>
      <c r="D5" s="12" t="inlineStr">
        <is>
          <t>Single-Leg In &amp; Out</t>
        </is>
      </c>
      <c r="E5" s="11" t="inlineStr">
        <is>
          <t>סולם זריזות</t>
        </is>
      </c>
      <c r="F5" s="12" t="inlineStr">
        <is>
          <t>שיפור יציבות קרסול וכוח פליאומטרי חד-רגלי נמוך.</t>
        </is>
      </c>
      <c r="G5" s="12" t="inlineStr">
        <is>
          <t>יציבות קרסול ומניעת נקעים</t>
        </is>
      </c>
    </row>
    <row r="6">
      <c r="A6" s="9" t="inlineStr">
        <is>
          <t>קואורדינציה וזריזות</t>
        </is>
      </c>
      <c r="B6" s="9" t="inlineStr">
        <is>
          <t>סולם זריזות (Agility Ladder)</t>
        </is>
      </c>
      <c r="C6" s="10" t="inlineStr">
        <is>
          <t>החלפת רגליים מהירה (מספריים)</t>
        </is>
      </c>
      <c r="D6" s="10" t="inlineStr">
        <is>
          <t>Ali Shuffle</t>
        </is>
      </c>
      <c r="E6" s="9" t="inlineStr">
        <is>
          <t>סולם זריזות</t>
        </is>
      </c>
      <c r="F6" s="10" t="inlineStr">
        <is>
          <t>קורדינציית רגליים מהירה במישור החיצי, שיפור מהירות מערכת העצבים.</t>
        </is>
      </c>
      <c r="G6" s="10" t="inlineStr">
        <is>
          <t>קצב צעדים ותזמון</t>
        </is>
      </c>
    </row>
    <row r="7">
      <c r="A7" s="11" t="inlineStr">
        <is>
          <t>קואורדינציה וזריזות</t>
        </is>
      </c>
      <c r="B7" s="11" t="inlineStr">
        <is>
          <t>משוכות נמוכות וקונוסים</t>
        </is>
      </c>
      <c r="C7" s="12" t="inlineStr">
        <is>
          <t>דילוגים לטרליים מעל משוכות</t>
        </is>
      </c>
      <c r="D7" s="12" t="inlineStr">
        <is>
          <t>Lateral Micro-Hurdle Bounds</t>
        </is>
      </c>
      <c r="E7" s="11" t="inlineStr">
        <is>
          <t>משוכות נמוכות</t>
        </is>
      </c>
      <c r="F7" s="12" t="inlineStr">
        <is>
          <t>זמן מגע קצר ברצפה (Stiffness), הרמת ברך מהירה.</t>
        </is>
      </c>
      <c r="G7" s="12" t="inlineStr">
        <is>
          <t>כוח תגובתי ושינוי כיוון לטרלי</t>
        </is>
      </c>
    </row>
    <row r="8">
      <c r="A8" s="9" t="inlineStr">
        <is>
          <t>קואורדינציה וזריזות</t>
        </is>
      </c>
      <c r="B8" s="9" t="inlineStr">
        <is>
          <t>משוכות נמוכות וקונוסים</t>
        </is>
      </c>
      <c r="C8" s="10" t="inlineStr">
        <is>
          <t>ריצת קונוסים בתבנית T</t>
        </is>
      </c>
      <c r="D8" s="10" t="inlineStr">
        <is>
          <t>T-Drill</t>
        </is>
      </c>
      <c r="E8" s="9" t="inlineStr">
        <is>
          <t>קונוסים</t>
        </is>
      </c>
      <c r="F8" s="10" t="inlineStr">
        <is>
          <t>בלימה יעילה, ריצה צידית (Shuffling) וריצה לאחור.</t>
        </is>
      </c>
      <c r="G8" s="10" t="inlineStr">
        <is>
          <t>שינוי כיוון פונקציונלי (COD)</t>
        </is>
      </c>
    </row>
    <row r="9">
      <c r="A9" s="11" t="inlineStr">
        <is>
          <t>קואורדינציה וזריזות</t>
        </is>
      </c>
      <c r="B9" s="11" t="inlineStr">
        <is>
          <t>משוכות נמוכות וקונוסים</t>
        </is>
      </c>
      <c r="C9" s="12" t="inlineStr">
        <is>
          <t>מבחן פרו-אגיליטי (5-10-5)</t>
        </is>
      </c>
      <c r="D9" s="12" t="inlineStr">
        <is>
          <t>Pro Agility 5-10-5</t>
        </is>
      </c>
      <c r="E9" s="11" t="inlineStr">
        <is>
          <t>קונוסים, סרט מדידה</t>
        </is>
      </c>
      <c r="F9" s="12" t="inlineStr">
        <is>
          <t>ירידה במרכז הכובד לפני בלימה, דחיפה חזקה של הקרקע בשינוי כיוון.</t>
        </is>
      </c>
      <c r="G9" s="12" t="inlineStr">
        <is>
          <t>תאוצה ובלימה במרחב קצר</t>
        </is>
      </c>
    </row>
    <row r="10">
      <c r="A10" s="9" t="inlineStr">
        <is>
          <t>קואורדינציה וזריזות</t>
        </is>
      </c>
      <c r="B10" s="9" t="inlineStr">
        <is>
          <t>משוכות נמוכות וקונוסים</t>
        </is>
      </c>
      <c r="C10" s="10" t="inlineStr">
        <is>
          <t>ריצת זיגזג בקונוסים עיוורים</t>
        </is>
      </c>
      <c r="D10" s="10" t="inlineStr">
        <is>
          <t>Z-Run Drill</t>
        </is>
      </c>
      <c r="E10" s="9" t="inlineStr">
        <is>
          <t>קונוסים</t>
        </is>
      </c>
      <c r="F10" s="10" t="inlineStr">
        <is>
          <t>שינוי כיוון חד ב-45 מעלות, פיתוח כוח לטרלי מהיר.</t>
        </is>
      </c>
      <c r="G10" s="10" t="inlineStr">
        <is>
          <t>חיתוך ושינוי כיוון דינמי</t>
        </is>
      </c>
    </row>
    <row r="11">
      <c r="A11" s="11" t="inlineStr">
        <is>
          <t>קואורדינציה וזריזות</t>
        </is>
      </c>
      <c r="B11" s="11" t="inlineStr">
        <is>
          <t>משוכות נמוכות וקונוסים</t>
        </is>
      </c>
      <c r="C11" s="12" t="inlineStr">
        <is>
          <t>ריצה סביב קונוסים בתבנית שמינית</t>
        </is>
      </c>
      <c r="D11" s="12" t="inlineStr">
        <is>
          <t>Figure 8 Drill</t>
        </is>
      </c>
      <c r="E11" s="11" t="inlineStr">
        <is>
          <t>קונוסים</t>
        </is>
      </c>
      <c r="F11" s="12" t="inlineStr">
        <is>
          <t>עבודה על הטיית הגוף (Lean) בסיבובים חדים מבלי לאבד מהירות.</t>
        </is>
      </c>
      <c r="G11" s="12" t="inlineStr">
        <is>
          <t>תנועתיות אגן ושליטה בריצה מעוקלת</t>
        </is>
      </c>
    </row>
    <row r="12">
      <c r="A12" s="9" t="inlineStr">
        <is>
          <t>קואורדינציה וזריזות</t>
        </is>
      </c>
      <c r="B12" s="9" t="inlineStr">
        <is>
          <t>משוכות נמוכות וקונוסים</t>
        </is>
      </c>
      <c r="C12" s="10" t="inlineStr">
        <is>
          <t>תרגיל שינוי כיוון בצורת Y (תגובתי)</t>
        </is>
      </c>
      <c r="D12" s="10" t="inlineStr">
        <is>
          <t>Y-Shaped Reactive Drill</t>
        </is>
      </c>
      <c r="E12" s="9" t="inlineStr">
        <is>
          <t>קונוסים צבעוניים</t>
        </is>
      </c>
      <c r="F12" s="10" t="inlineStr">
        <is>
          <t>השחקן רץ ומגיב לאות קולי/חזותי של המאמן כדי לחתוך ימינה או שמאלה.</t>
        </is>
      </c>
      <c r="G12" s="10" t="inlineStr">
        <is>
          <t>זריזות תגובתית וקבלת החלטות</t>
        </is>
      </c>
    </row>
    <row r="13">
      <c r="A13" s="11" t="inlineStr">
        <is>
          <t>קואורדינציה וזריזות</t>
        </is>
      </c>
      <c r="B13" s="11" t="inlineStr">
        <is>
          <t>שיווי משקל ותפיסה</t>
        </is>
      </c>
      <c r="C13" s="12" t="inlineStr">
        <is>
          <t>עמידה על בוסו + פס מהאוויר</t>
        </is>
      </c>
      <c r="D13" s="12" t="inlineStr">
        <is>
          <t>Single-Leg Bosu Ball Volley</t>
        </is>
      </c>
      <c r="E13" s="11" t="inlineStr">
        <is>
          <t>בוסו, כדורגל</t>
        </is>
      </c>
      <c r="F13" s="12" t="inlineStr">
        <is>
          <t>ייצוב דינמי של הקרסול והברך תוך ביצוע פעולה טכנית עם הכדור.</t>
        </is>
      </c>
      <c r="G13" s="12" t="inlineStr">
        <is>
          <t>פרופריוספציה ומניעת פציעות ברך וקרסול</t>
        </is>
      </c>
    </row>
    <row r="14">
      <c r="A14" s="9" t="inlineStr">
        <is>
          <t>קואורדינציה וזריזות</t>
        </is>
      </c>
      <c r="B14" s="9" t="inlineStr">
        <is>
          <t>שיווי משקל ותפיסה</t>
        </is>
      </c>
      <c r="C14" s="10" t="inlineStr">
        <is>
          <t>תפיסת כדור תגובה בקפיצה</t>
        </is>
      </c>
      <c r="D14" s="10" t="inlineStr">
        <is>
          <t>Reaction Ball Toss</t>
        </is>
      </c>
      <c r="E14" s="9" t="inlineStr">
        <is>
          <t>כדור תגובה (ריבאונד)</t>
        </is>
      </c>
      <c r="F14" s="10" t="inlineStr">
        <is>
          <t>שיפור מהירות תגובה ויזואלית וקואורדינציית עין-יד/עין-רגל.</t>
        </is>
      </c>
      <c r="G14" s="10" t="inlineStr">
        <is>
          <t>זמן תגובה ומערכת עצבית</t>
        </is>
      </c>
    </row>
    <row r="15">
      <c r="A15" s="11" t="inlineStr">
        <is>
          <t>קואורדינציה וזריזות</t>
        </is>
      </c>
      <c r="B15" s="11" t="inlineStr">
        <is>
          <t>שיווי משקל ותפיסה</t>
        </is>
      </c>
      <c r="C15" s="12" t="inlineStr">
        <is>
          <t>עמידה חד רגלית על פיתה + כדור טניס</t>
        </is>
      </c>
      <c r="D15" s="12" t="inlineStr">
        <is>
          <t>Single-Leg Balance + Tennis Ball Toss</t>
        </is>
      </c>
      <c r="E15" s="11" t="inlineStr">
        <is>
          <t>פיתת שיווי משקל, כדורי טניס</t>
        </is>
      </c>
      <c r="F15" s="12" t="inlineStr">
        <is>
          <t>חלוקת קשב! שמירה על יציבות סטאטית ברגל בזמן זריקה ותפיסה של כדור טניס.</t>
        </is>
      </c>
      <c r="G15" s="12" t="inlineStr">
        <is>
          <t>מניעת נקעים וקואורדינציה כללית</t>
        </is>
      </c>
    </row>
    <row r="16">
      <c r="A16" s="9" t="inlineStr">
        <is>
          <t>כוח מתפרץ ופליאומטריה</t>
        </is>
      </c>
      <c r="B16" s="9" t="inlineStr">
        <is>
          <t>פליאומטריה (אנכי ואופקי)</t>
        </is>
      </c>
      <c r="C16" s="10" t="inlineStr">
        <is>
          <t>קפיצת נגד תנועה לגובה</t>
        </is>
      </c>
      <c r="D16" s="10" t="inlineStr">
        <is>
          <t>Countermovement Jump (CMJ)</t>
        </is>
      </c>
      <c r="E16" s="9" t="inlineStr">
        <is>
          <t>ללא / ארגז קטן</t>
        </is>
      </c>
      <c r="F16" s="10" t="inlineStr">
        <is>
          <t>ניצול מחזור מתיחה-קיצור (SSC) עם תנופת ידיים מלאה.</t>
        </is>
      </c>
      <c r="G16" s="10" t="inlineStr">
        <is>
          <t>כוח מתפרץ אנכי (לנגיחות)</t>
        </is>
      </c>
    </row>
    <row r="17">
      <c r="A17" s="11" t="inlineStr">
        <is>
          <t>כוח מתפרץ ופליאומטריה</t>
        </is>
      </c>
      <c r="B17" s="11" t="inlineStr">
        <is>
          <t>פליאומטריה (אנכי ואופקי)</t>
        </is>
      </c>
      <c r="C17" s="12" t="inlineStr">
        <is>
          <t>נפילה מארגז לקפיצה אנכית</t>
        </is>
      </c>
      <c r="D17" s="12" t="inlineStr">
        <is>
          <t>Depth Jump to Vertical Jump</t>
        </is>
      </c>
      <c r="E17" s="11" t="inlineStr">
        <is>
          <t>ארגז פליאומטרי</t>
        </is>
      </c>
      <c r="F17" s="12" t="inlineStr">
        <is>
          <t>דגש על נחיתה שקטה ומיד זינוק למעלה, מינימום זמן על הקרקע.</t>
        </is>
      </c>
      <c r="G17" s="12" t="inlineStr">
        <is>
          <t>שיפור מדד RSI (כוח תגובתי)</t>
        </is>
      </c>
    </row>
    <row r="18">
      <c r="A18" s="9" t="inlineStr">
        <is>
          <t>כוח מתפרץ ופליאומטריה</t>
        </is>
      </c>
      <c r="B18" s="9" t="inlineStr">
        <is>
          <t>פליאומטריה (אנכי ואופקי)</t>
        </is>
      </c>
      <c r="C18" s="10" t="inlineStr">
        <is>
          <t>קפיצה לרוחק מהמקום</t>
        </is>
      </c>
      <c r="D18" s="10" t="inlineStr">
        <is>
          <t>Broad Jump</t>
        </is>
      </c>
      <c r="E18" s="9" t="inlineStr">
        <is>
          <t>מזרן או דשא</t>
        </is>
      </c>
      <c r="F18" s="10" t="inlineStr">
        <is>
          <t>הפקת כוח אופקית מקסימלית משתי רגליים ונחיתה יציבה (Stick).</t>
        </is>
      </c>
      <c r="G18" s="10" t="inlineStr">
        <is>
          <t>שיפור תאוצה וספרינט</t>
        </is>
      </c>
    </row>
    <row r="19">
      <c r="A19" s="11" t="inlineStr">
        <is>
          <t>כוח מתפרץ ופליאומטריה</t>
        </is>
      </c>
      <c r="B19" s="11" t="inlineStr">
        <is>
          <t>פליאומטריה (אנכי ואופקי)</t>
        </is>
      </c>
      <c r="C19" s="12" t="inlineStr">
        <is>
          <t>קפיצות לטרליות מרגל לרגל</t>
        </is>
      </c>
      <c r="D19" s="12" t="inlineStr">
        <is>
          <t>Single-Leg Lateral Bounds (Heiden)</t>
        </is>
      </c>
      <c r="E19" s="11" t="inlineStr">
        <is>
          <t>סימון על הרצפה</t>
        </is>
      </c>
      <c r="F19" s="12" t="inlineStr">
        <is>
          <t>דימוי מדויק של חיתוך הצידה בכדורגל, ייצוב ברך בנחיתה.</t>
        </is>
      </c>
      <c r="G19" s="12" t="inlineStr">
        <is>
          <t>כוח מתפרץ לטרלי ומניעת פציעות ברך</t>
        </is>
      </c>
    </row>
    <row r="20">
      <c r="A20" s="9" t="inlineStr">
        <is>
          <t>כוח מתפרץ ופליאומטריה</t>
        </is>
      </c>
      <c r="B20" s="9" t="inlineStr">
        <is>
          <t>פליאומטריה (אנכי ואופקי)</t>
        </is>
      </c>
      <c r="C20" s="10" t="inlineStr">
        <is>
          <t>קפיצות רגל אחת לפנים מעל משוכות</t>
        </is>
      </c>
      <c r="D20" s="10" t="inlineStr">
        <is>
          <t>Single-Leg Linear Hurdle Hops</t>
        </is>
      </c>
      <c r="E20" s="9" t="inlineStr">
        <is>
          <t>משוכות בינוניות</t>
        </is>
      </c>
      <c r="F20" s="10" t="inlineStr">
        <is>
          <t>פיתוח כוח מתפרץ חד-רגלי, שליטה במפרק הירך והברך.</t>
        </is>
      </c>
      <c r="G20" s="10" t="inlineStr">
        <is>
          <t>כוח חד-רגלי פונקציונלי</t>
        </is>
      </c>
    </row>
    <row r="21">
      <c r="A21" s="11" t="inlineStr">
        <is>
          <t>כוח מתפרץ ופליאומטריה</t>
        </is>
      </c>
      <c r="B21" s="11" t="inlineStr">
        <is>
          <t>פליאומטריה (אנכי ואופקי)</t>
        </is>
      </c>
      <c r="C21" s="12" t="inlineStr">
        <is>
          <t>קפיצות החלקה רציפות על רגל אחת קדימה</t>
        </is>
      </c>
      <c r="D21" s="12" t="inlineStr">
        <is>
          <t>Single-Leg Broad Jumps (Continuous)</t>
        </is>
      </c>
      <c r="E21" s="11" t="inlineStr">
        <is>
          <t>דשא / מזרן ארוך</t>
        </is>
      </c>
      <c r="F21" s="12" t="inlineStr">
        <is>
          <t>קפיצות רציפות קדימה על אותה הרגל ללא עצירה, פיתוח ספיגת כוח וייצור מחדש.</t>
        </is>
      </c>
      <c r="G21" s="12" t="inlineStr">
        <is>
          <t>כוח אנכי ואופקי חד רגלי</t>
        </is>
      </c>
    </row>
    <row r="22">
      <c r="A22" s="9" t="inlineStr">
        <is>
          <t>כוח מתפרץ ופליאומטריה</t>
        </is>
      </c>
      <c r="B22" s="9" t="inlineStr">
        <is>
          <t>פליאומטריה (אנכי ואופקי)</t>
        </is>
      </c>
      <c r="C22" s="10" t="inlineStr">
        <is>
          <t>קפיצה מארגז ונחיתה חד רגלית יציבה</t>
        </is>
      </c>
      <c r="D22" s="10" t="inlineStr">
        <is>
          <t>Drop Landing (Single-Leg Stick)</t>
        </is>
      </c>
      <c r="E22" s="9" t="inlineStr">
        <is>
          <t>ארגז פליאומטרי</t>
        </is>
      </c>
      <c r="F22" s="10" t="inlineStr">
        <is>
          <t>תרגיל פליאומטרי אקצנטרי. הדגש הוא רק על נחיתה מושלמת ובלימת זעזועים ללא קריסת ברך.</t>
        </is>
      </c>
      <c r="G22" s="10" t="inlineStr">
        <is>
          <t>מניעת פציעות ACL ופיתוח יכולת בלימה</t>
        </is>
      </c>
    </row>
    <row r="23">
      <c r="A23" s="11" t="inlineStr">
        <is>
          <t>כוח מתפרץ ופליאומטריה</t>
        </is>
      </c>
      <c r="B23" s="11" t="inlineStr">
        <is>
          <t>התנגדות וכדורי כוח</t>
        </is>
      </c>
      <c r="C23" s="12" t="inlineStr">
        <is>
          <t>קפיצות עם מוט טראפ</t>
        </is>
      </c>
      <c r="D23" s="12" t="inlineStr">
        <is>
          <t>Trap Bar Jump Squat</t>
        </is>
      </c>
      <c r="E23" s="11" t="inlineStr">
        <is>
          <t>מוט טראפ, פלטות</t>
        </is>
      </c>
      <c r="F23" s="12" t="inlineStr">
        <is>
          <t>משקל קל (20-40% מ-1RM), ביצוע מהיר ככל הניתן.</t>
        </is>
      </c>
      <c r="G23" s="12" t="inlineStr">
        <is>
          <t>פיתוח הספק כוח מרבי בלחיצה</t>
        </is>
      </c>
    </row>
    <row r="24">
      <c r="A24" s="9" t="inlineStr">
        <is>
          <t>כוח מתפרץ ופליאומטריה</t>
        </is>
      </c>
      <c r="B24" s="9" t="inlineStr">
        <is>
          <t>התנגדות וכדורי כוח</t>
        </is>
      </c>
      <c r="C24" s="10" t="inlineStr">
        <is>
          <t>הנפת קטלבל מהירה</t>
        </is>
      </c>
      <c r="D24" s="10" t="inlineStr">
        <is>
          <t>Kettlebell Swing</t>
        </is>
      </c>
      <c r="E24" s="9" t="inlineStr">
        <is>
          <t>קטלבל</t>
        </is>
      </c>
      <c r="F24" s="10" t="inlineStr">
        <is>
          <t>פתיחת ירך עוצמתית (Hip Hinge) ע"י הישבן וההמסטרינגס.</t>
        </is>
      </c>
      <c r="G24" s="10" t="inlineStr">
        <is>
          <t>כוח מתפרץ בשרשרת האחורית</t>
        </is>
      </c>
    </row>
    <row r="25">
      <c r="A25" s="11" t="inlineStr">
        <is>
          <t>כוח מתפרץ ופליאומטריה</t>
        </is>
      </c>
      <c r="B25" s="11" t="inlineStr">
        <is>
          <t>התנגדות וכדורי כוח</t>
        </is>
      </c>
      <c r="C25" s="12" t="inlineStr">
        <is>
          <t>זריקת כדור כוח סיבובית לקיר</t>
        </is>
      </c>
      <c r="D25" s="12" t="inlineStr">
        <is>
          <t>Medicine Ball Rotational Wall Throw</t>
        </is>
      </c>
      <c r="E25" s="11" t="inlineStr">
        <is>
          <t>כדור כוח (משקל קשיח)</t>
        </is>
      </c>
      <c r="F25" s="12" t="inlineStr">
        <is>
          <t>העברת כוח מהרגל, דרך הליבה האלכסונית אל הידיים.</t>
        </is>
      </c>
      <c r="G25" s="12" t="inlineStr">
        <is>
          <t>כוח מתפרץ רוטציוני (לבעיטות ומאבקים)</t>
        </is>
      </c>
    </row>
    <row r="26">
      <c r="A26" s="9" t="inlineStr">
        <is>
          <t>כוח מתפרץ ופליאומטריה</t>
        </is>
      </c>
      <c r="B26" s="9" t="inlineStr">
        <is>
          <t>התנגדות וכדורי כוח</t>
        </is>
      </c>
      <c r="C26" s="10" t="inlineStr">
        <is>
          <t>הטחת כדור כוח לרצפה</t>
        </is>
      </c>
      <c r="D26" s="10" t="inlineStr">
        <is>
          <t>Medicine Ball Slams</t>
        </is>
      </c>
      <c r="E26" s="9" t="inlineStr">
        <is>
          <t>כדור כוח סלאם באנג</t>
        </is>
      </c>
      <c r="F26" s="10" t="inlineStr">
        <is>
          <t>כוח מתפרץ של פלג גוף עליון והליבה הקדמית בתנועה אנכית.</t>
        </is>
      </c>
      <c r="G26" s="10" t="inlineStr">
        <is>
          <t>כוח מתפרץ פלג גוף עליון וליבה</t>
        </is>
      </c>
    </row>
    <row r="27">
      <c r="A27" s="11" t="inlineStr">
        <is>
          <t>כוח מתפרץ ופליאומטריה</t>
        </is>
      </c>
      <c r="B27" s="11" t="inlineStr">
        <is>
          <t>התנגדות וכדורי כוח</t>
        </is>
      </c>
      <c r="C27" s="12" t="inlineStr">
        <is>
          <t>מכרע אחורי מתפרץ עם מוט לנדמיין</t>
        </is>
      </c>
      <c r="D27" s="12" t="inlineStr">
        <is>
          <t>Landmine Reverse Lunge to Explosive Knee Drive</t>
        </is>
      </c>
      <c r="E27" s="11" t="inlineStr">
        <is>
          <t>מוט לנדמיין</t>
        </is>
      </c>
      <c r="F27" s="12" t="inlineStr">
        <is>
          <t>ביצוע מכרע אחורי ועלייה מתפרצת מעלה תוך הבאת הברך השנייה אל החזה (תבנית ריצה).</t>
        </is>
      </c>
      <c r="G27" s="12" t="inlineStr">
        <is>
          <t>כוח מתפרץ חד-רגלי ספציפי לתאוצה</t>
        </is>
      </c>
    </row>
    <row r="28">
      <c r="A28" s="9" t="inlineStr">
        <is>
          <t>כוח - פלג גוף תחתון</t>
        </is>
      </c>
      <c r="B28" s="9" t="inlineStr">
        <is>
          <t>דומיננטיות ברך (ארבע ראשי)</t>
        </is>
      </c>
      <c r="C28" s="10" t="inlineStr">
        <is>
          <t>סקוואט בולגרי</t>
        </is>
      </c>
      <c r="D28" s="10" t="inlineStr">
        <is>
          <t>Bulgarian Split Squat</t>
        </is>
      </c>
      <c r="E28" s="9" t="inlineStr">
        <is>
          <t>דאמבלים / מוט, ספסל</t>
        </is>
      </c>
      <c r="F28" s="10" t="inlineStr">
        <is>
          <t>תרגיל מפתח לתיקון חוסר איזון בין הרגליים, פיתוח כוח אסימטרי.</t>
        </is>
      </c>
      <c r="G28" s="10" t="inlineStr">
        <is>
          <t>כוח חד-רגלי ומניעת פציעות אסימטריות</t>
        </is>
      </c>
    </row>
    <row r="29">
      <c r="A29" s="11" t="inlineStr">
        <is>
          <t>כוח - פלג גוף תחתון</t>
        </is>
      </c>
      <c r="B29" s="11" t="inlineStr">
        <is>
          <t>דומיננטיות ברך (ארבע ראשי)</t>
        </is>
      </c>
      <c r="C29" s="12" t="inlineStr">
        <is>
          <t>סקוואט קדמי עם מוט</t>
        </is>
      </c>
      <c r="D29" s="12" t="inlineStr">
        <is>
          <t>Front Squat</t>
        </is>
      </c>
      <c r="E29" s="11" t="inlineStr">
        <is>
          <t>מוט אולימפי, כלוב</t>
        </is>
      </c>
      <c r="F29" s="12" t="inlineStr">
        <is>
          <t>מפחית עומס מהגב התחתון בהשוואה לסקוואט אחורי, דורש זקיפות ליבה.</t>
        </is>
      </c>
      <c r="G29" s="12" t="inlineStr">
        <is>
          <t>חיזוק ה-Quads והליבה</t>
        </is>
      </c>
    </row>
    <row r="30">
      <c r="A30" s="9" t="inlineStr">
        <is>
          <t>כוח - פלג גוף תחתון</t>
        </is>
      </c>
      <c r="B30" s="9" t="inlineStr">
        <is>
          <t>דומיננטיות ברך (ארבע ראשי)</t>
        </is>
      </c>
      <c r="C30" s="10" t="inlineStr">
        <is>
          <t>מכרעים בהליכה עם משקל</t>
        </is>
      </c>
      <c r="D30" s="10" t="inlineStr">
        <is>
          <t>Walking Lunges</t>
        </is>
      </c>
      <c r="E30" s="9" t="inlineStr">
        <is>
          <t>דאמבלים / קטלבלס</t>
        </is>
      </c>
      <c r="F30" s="10" t="inlineStr">
        <is>
          <t>תרגיל דינמי המדמה תבנית ריצה, עבודה על יציבות אגן לטרלית.</t>
        </is>
      </c>
      <c r="G30" s="10" t="inlineStr">
        <is>
          <t>כוח דינמי פונקציונלי</t>
        </is>
      </c>
    </row>
    <row r="31">
      <c r="A31" s="11" t="inlineStr">
        <is>
          <t>כוח - פלג גוף תחתון</t>
        </is>
      </c>
      <c r="B31" s="11" t="inlineStr">
        <is>
          <t>דומיננטיות ברך (ארבע ראשי)</t>
        </is>
      </c>
      <c r="C31" s="12" t="inlineStr">
        <is>
          <t>סקוואט חצי טווח כבד (לכוח מרבי)</t>
        </is>
      </c>
      <c r="D31" s="12" t="inlineStr">
        <is>
          <t>Quarter Back Squat (Heavy)</t>
        </is>
      </c>
      <c r="E31" s="11" t="inlineStr">
        <is>
          <t>מוט אולימפי, כלוב</t>
        </is>
      </c>
      <c r="F31" s="12" t="inlineStr">
        <is>
          <t>עבודה בטווח הספציפי שבו כדורגלנים מנתרים ורצים - מאפשר העמסה כבדה מאוד.</t>
        </is>
      </c>
      <c r="G31" s="12" t="inlineStr">
        <is>
          <t>פיתוח כוח מרבי ספציפי לספרינטים</t>
        </is>
      </c>
    </row>
    <row r="32">
      <c r="A32" s="9" t="inlineStr">
        <is>
          <t>כוח - פלג גוף תחתון</t>
        </is>
      </c>
      <c r="B32" s="9" t="inlineStr">
        <is>
          <t>דומיננטיות ברך (ארבע ראשי)</t>
        </is>
      </c>
      <c r="C32" s="10" t="inlineStr">
        <is>
          <t>סקוואט זאצ'ר</t>
        </is>
      </c>
      <c r="D32" s="10" t="inlineStr">
        <is>
          <t>Zercher Squat</t>
        </is>
      </c>
      <c r="E32" s="9" t="inlineStr">
        <is>
          <t>מוט אולימפי</t>
        </is>
      </c>
      <c r="F32" s="10" t="inlineStr">
        <is>
          <t>החזקת המוט במרפקים - מעמיס בטירוף על הקוואדס והליבה הקדמית, מעולה למאבקי גוף.</t>
        </is>
      </c>
      <c r="G32" s="10" t="inlineStr">
        <is>
          <t>כוח ליבה קדמית וכוח ברך</t>
        </is>
      </c>
    </row>
    <row r="33">
      <c r="A33" s="11" t="inlineStr">
        <is>
          <t>כוח - פלג גוף תחתון</t>
        </is>
      </c>
      <c r="B33" s="11" t="inlineStr">
        <is>
          <t>דומיננטיות ברך (ארבע ראשי)</t>
        </is>
      </c>
      <c r="C33" s="12" t="inlineStr">
        <is>
          <t>פשיטת ברכיים הפוכה (משקל גוף)</t>
        </is>
      </c>
      <c r="D33" s="12" t="inlineStr">
        <is>
          <t>Reverse Nordic Curl</t>
        </is>
      </c>
      <c r="E33" s="11" t="inlineStr">
        <is>
          <t>מזרן</t>
        </is>
      </c>
      <c r="F33" s="12" t="inlineStr">
        <is>
          <t>מותח ומחזק אקצנטרית את הארבע-ראשי ואת מכופפי הירך (Rectus Femoris).</t>
        </is>
      </c>
      <c r="G33" s="12" t="inlineStr">
        <is>
          <t>מניעת מתיחות בארבע-ראשי בבעיטות חזקות</t>
        </is>
      </c>
    </row>
    <row r="34">
      <c r="A34" s="9" t="inlineStr">
        <is>
          <t>כוח - פלג גוף תחתון</t>
        </is>
      </c>
      <c r="B34" s="9" t="inlineStr">
        <is>
          <t>דומיננטיות ברך (ארבע ראשי)</t>
        </is>
      </c>
      <c r="C34" s="10" t="inlineStr">
        <is>
          <t>סטפ-אפ גבוה עם דאמבלים</t>
        </is>
      </c>
      <c r="D34" s="10" t="inlineStr">
        <is>
          <t>High Box Step-Up</t>
        </is>
      </c>
      <c r="E34" s="9" t="inlineStr">
        <is>
          <t>ארגז, דאמבלים</t>
        </is>
      </c>
      <c r="F34" s="10" t="inlineStr">
        <is>
          <t>דחיפת הארגז דרך העקב, יישור מלא של הירך והברך.</t>
        </is>
      </c>
      <c r="G34" s="10" t="inlineStr">
        <is>
          <t>כוח חד רגלי טהור וייצוב אגן</t>
        </is>
      </c>
    </row>
    <row r="35">
      <c r="A35" s="11" t="inlineStr">
        <is>
          <t>כוח - פלג גוף תחתון</t>
        </is>
      </c>
      <c r="B35" s="11" t="inlineStr">
        <is>
          <t>דומיננטיות ירך (המסטרינגס וישבן)</t>
        </is>
      </c>
      <c r="C35" s="12" t="inlineStr">
        <is>
          <t>נורדיק המסטרינג קורל</t>
        </is>
      </c>
      <c r="D35" s="12" t="inlineStr">
        <is>
          <t>Nordic Hamstring Curl</t>
        </is>
      </c>
      <c r="E35" s="11" t="inlineStr">
        <is>
          <t>ספסל ייעודי / בן זוג</t>
        </is>
      </c>
      <c r="F35" s="12" t="inlineStr">
        <is>
          <t>תרגיל הזהב למניעת קרעים בהמסטרינגס. דגש על שלב אקצנטרי איטי.</t>
        </is>
      </c>
      <c r="G35" s="12" t="inlineStr">
        <is>
          <t>מניעת פציעות המסטרינגס (קריטי לספרינטרים)</t>
        </is>
      </c>
    </row>
    <row r="36">
      <c r="A36" s="9" t="inlineStr">
        <is>
          <t>כוח - פלג גוף תחתון</t>
        </is>
      </c>
      <c r="B36" s="9" t="inlineStr">
        <is>
          <t>דומיננטיות ירך (המסטרינגס וישבן)</t>
        </is>
      </c>
      <c r="C36" s="10" t="inlineStr">
        <is>
          <t>דדליפט רומני חד-רגלי</t>
        </is>
      </c>
      <c r="D36" s="10" t="inlineStr">
        <is>
          <t>Single-Leg Romanian Deadlift (RDL)</t>
        </is>
      </c>
      <c r="E36" s="9" t="inlineStr">
        <is>
          <t>דאמבל / קטלבל</t>
        </is>
      </c>
      <c r="F36" s="10" t="inlineStr">
        <is>
          <t>פיתוח שיווי משקל בכף הרגל, חיזוק המסטרינגס וישבן בצורה חד-רגלית.</t>
        </is>
      </c>
      <c r="G36" s="10" t="inlineStr">
        <is>
          <t>חיזוק שרשרת אחורית ויציבות כף רגל</t>
        </is>
      </c>
    </row>
    <row r="37">
      <c r="A37" s="11" t="inlineStr">
        <is>
          <t>כוח - פלג גוף תחתון</t>
        </is>
      </c>
      <c r="B37" s="11" t="inlineStr">
        <is>
          <t>דומיננטיות ירך (המסטרינגס וישבן)</t>
        </is>
      </c>
      <c r="C37" s="12" t="inlineStr">
        <is>
          <t>היפ תראסט עם מוט</t>
        </is>
      </c>
      <c r="D37" s="12" t="inlineStr">
        <is>
          <t>Barbell Hip Thrust</t>
        </is>
      </c>
      <c r="E37" s="11" t="inlineStr">
        <is>
          <t>מוט, ספסל, ריפוד</t>
        </is>
      </c>
      <c r="F37" s="12" t="inlineStr">
        <is>
          <t>התרגיל הטוב ביותר לפיתוח כוח היפ-אקסטנשן אופקי, משפר מהירות ספרינט.</t>
        </is>
      </c>
      <c r="G37" s="12" t="inlineStr">
        <is>
          <t>חיזוק ישבן וכוח הנעה אופקי</t>
        </is>
      </c>
    </row>
    <row r="38">
      <c r="A38" s="9" t="inlineStr">
        <is>
          <t>כוח - פלג גוף תחתון</t>
        </is>
      </c>
      <c r="B38" s="9" t="inlineStr">
        <is>
          <t>דומיננטיות ירך (המסטרינגס וישבן)</t>
        </is>
      </c>
      <c r="C38" s="10" t="inlineStr">
        <is>
          <t>כפיפת ברכיים עם סליידרים</t>
        </is>
      </c>
      <c r="D38" s="10" t="inlineStr">
        <is>
          <t>Sliding Hamstring Curls</t>
        </is>
      </c>
      <c r="E38" s="9" t="inlineStr">
        <is>
          <t>סליידרים / פיטבול</t>
        </is>
      </c>
      <c r="F38" s="10" t="inlineStr">
        <is>
          <t>עבודה אקצנטרית וקונצנטרית מבודדת על ההמסטרינגס במצב שכיבה.</t>
        </is>
      </c>
      <c r="G38" s="10" t="inlineStr">
        <is>
          <t>חיזוק המסטרינגס במנח אגן פתוח</t>
        </is>
      </c>
    </row>
    <row r="39">
      <c r="A39" s="11" t="inlineStr">
        <is>
          <t>כוח - פלג גוף תחתון</t>
        </is>
      </c>
      <c r="B39" s="11" t="inlineStr">
        <is>
          <t>דומיננטיות ירך (המסטרינגס וישבן)</t>
        </is>
      </c>
      <c r="C39" s="12" t="inlineStr">
        <is>
          <t>דדליפט עם מוט טראפ</t>
        </is>
      </c>
      <c r="D39" s="12" t="inlineStr">
        <is>
          <t>Trap Bar Deadlift</t>
        </is>
      </c>
      <c r="E39" s="11" t="inlineStr">
        <is>
          <t>מוט טראפ, פלטות</t>
        </is>
      </c>
      <c r="F39" s="12" t="inlineStr">
        <is>
          <t>משלב דומיננטיות ברך וירך, בטוח בהרבה לגב תחתון מדדליפט רגיל, מאפשר העמסה כבדה.</t>
        </is>
      </c>
      <c r="G39" s="12" t="inlineStr">
        <is>
          <t>פיתוח כוח כללי והיפרטרופיה פונקציונלית</t>
        </is>
      </c>
    </row>
    <row r="40">
      <c r="A40" s="9" t="inlineStr">
        <is>
          <t>כוח - פלג גוף תחתון</t>
        </is>
      </c>
      <c r="B40" s="9" t="inlineStr">
        <is>
          <t>דומיננטיות ירך (המסטרינגס וישבן)</t>
        </is>
      </c>
      <c r="C40" s="10" t="inlineStr">
        <is>
          <t>פשיטת ירך ב-45 מעלות (סינגל או דאבל)</t>
        </is>
      </c>
      <c r="D40" s="10" t="inlineStr">
        <is>
          <t>45-Degree Hyperextension</t>
        </is>
      </c>
      <c r="E40" s="9" t="inlineStr">
        <is>
          <t>ספסל 45 מעלות</t>
        </is>
      </c>
      <c r="F40" s="10" t="inlineStr">
        <is>
          <t>התמקדות בנעילת הישבן והמסטרינגס העליון, לשמור על גב ניטרלי.</t>
        </is>
      </c>
      <c r="G40" s="10" t="inlineStr">
        <is>
          <t>חיזוק שרשרת אחורית ומניעת כאבי גב תחתון</t>
        </is>
      </c>
    </row>
    <row r="41">
      <c r="A41" s="11" t="inlineStr">
        <is>
          <t>כוח - פלג גוף תחתון</t>
        </is>
      </c>
      <c r="B41" s="11" t="inlineStr">
        <is>
          <t>דומיננטיות ירך (המסטרינגס וישבן)</t>
        </is>
      </c>
      <c r="C41" s="12" t="inlineStr">
        <is>
          <t>פשיטת ירך הפוכה (מכונה או מזרן)</t>
        </is>
      </c>
      <c r="D41" s="12" t="inlineStr">
        <is>
          <t>Reverse Hyper</t>
        </is>
      </c>
      <c r="E41" s="11" t="inlineStr">
        <is>
          <t>ספסל / מכונה ייעודית</t>
        </is>
      </c>
      <c r="F41" s="12" t="inlineStr">
        <is>
          <t>חיזוק פסיבי ואקטיבי של הישבן והמסטרינגס תוך דקומפרסיה של עמוד השדרה.</t>
        </is>
      </c>
      <c r="G41" s="12" t="inlineStr">
        <is>
          <t>בריאות גב תחתון וכוח ישבן מבודד</t>
        </is>
      </c>
    </row>
    <row r="42">
      <c r="A42" s="9" t="inlineStr">
        <is>
          <t>כוח - פלג גוף תחתון</t>
        </is>
      </c>
      <c r="B42" s="9" t="inlineStr">
        <is>
          <t>מקרבים ומרחיקים (אגן ומפשעה)</t>
        </is>
      </c>
      <c r="C42" s="10" t="inlineStr">
        <is>
          <t>פלאנק קופנהגן (סטטי/דינמי)</t>
        </is>
      </c>
      <c r="D42" s="10" t="inlineStr">
        <is>
          <t>Copenhagen Plank</t>
        </is>
      </c>
      <c r="E42" s="9" t="inlineStr">
        <is>
          <t>ספסל</t>
        </is>
      </c>
      <c r="F42" s="10" t="inlineStr">
        <is>
          <t>תרגיל חובה למניעת פציעות ספורט במפשעה (Groin strains) וחיזוק המקרבים.</t>
        </is>
      </c>
      <c r="G42" s="10" t="inlineStr">
        <is>
          <t>מניעת פציעות מפשעה (Adductor isolation)</t>
        </is>
      </c>
    </row>
    <row r="43">
      <c r="A43" s="11" t="inlineStr">
        <is>
          <t>כוח - פלג גוף תחתון</t>
        </is>
      </c>
      <c r="B43" s="11" t="inlineStr">
        <is>
          <t>מקרבים ומרחיקים (אגן ומפשעה)</t>
        </is>
      </c>
      <c r="C43" s="12" t="inlineStr">
        <is>
          <t>הליכה צידית עם גומייה בכפות הרגליים</t>
        </is>
      </c>
      <c r="D43" s="12" t="inlineStr">
        <is>
          <t>Lateral Banded Monster Walks</t>
        </is>
      </c>
      <c r="E43" s="11" t="inlineStr">
        <is>
          <t>מיני-בנד (גומיית לולאה)</t>
        </is>
      </c>
      <c r="F43" s="12" t="inlineStr">
        <is>
          <t>חיזוק ה-Gluteus Medius ליציבות הברך ומניעת קריסה פנימה (Valgus).</t>
        </is>
      </c>
      <c r="G43" s="12" t="inlineStr">
        <is>
          <t>חיזוק מרחיקים ויציבות ברך</t>
        </is>
      </c>
    </row>
    <row r="44">
      <c r="A44" s="9" t="inlineStr">
        <is>
          <t>כוח - פלג גוף תחתון</t>
        </is>
      </c>
      <c r="B44" s="9" t="inlineStr">
        <is>
          <t>מקרבים ומרחיקים (אגן ומפשעה)</t>
        </is>
      </c>
      <c r="C44" s="10" t="inlineStr">
        <is>
          <t>מכרע צידי עם משקל (דאמבל/מוט)</t>
        </is>
      </c>
      <c r="D44" s="10" t="inlineStr">
        <is>
          <t>Side Lunge (Lateral Lunge)</t>
        </is>
      </c>
      <c r="E44" s="9" t="inlineStr">
        <is>
          <t>דאמבלים / מוט</t>
        </is>
      </c>
      <c r="F44" s="10" t="inlineStr">
        <is>
          <t>בניית כוח במישור הלטרלי, מותח את המקרבים ברגל הישרה ומחזק את הרגל הכופפת.</t>
        </is>
      </c>
      <c r="G44" s="10" t="inlineStr">
        <is>
          <t>כוח במישור הצידי הספציפי לחיתוכים</t>
        </is>
      </c>
    </row>
    <row r="45">
      <c r="A45" s="11" t="inlineStr">
        <is>
          <t>כוח - פלג גוף תחתון</t>
        </is>
      </c>
      <c r="B45" s="11" t="inlineStr">
        <is>
          <t>מקרבים ומרחיקים (אגן ומפשעה)</t>
        </is>
      </c>
      <c r="C45" s="12" t="inlineStr">
        <is>
          <t>מקרבי ירך כנגד פולי בעמידה</t>
        </is>
      </c>
      <c r="D45" s="12" t="inlineStr">
        <is>
          <t>Cable Adduction</t>
        </is>
      </c>
      <c r="E45" s="11" t="inlineStr">
        <is>
          <t>מכשיר קרוס-אובר, רצועת רגל</t>
        </is>
      </c>
      <c r="F45" s="12" t="inlineStr">
        <is>
          <t>חיזוק מבודד ודינמי של המקרבים בטווח תנועה רחב, מדמה תנועת בעיטה פנימית.</t>
        </is>
      </c>
      <c r="G45" s="12" t="inlineStr">
        <is>
          <t>כוח בעיטה מתוך כף הרגל ומניעת פציעות</t>
        </is>
      </c>
    </row>
    <row r="46">
      <c r="A46" s="9" t="inlineStr">
        <is>
          <t>כוח - פלג גוף תחתון</t>
        </is>
      </c>
      <c r="B46" s="9" t="inlineStr">
        <is>
          <t>שוקיים וכף הרגל</t>
        </is>
      </c>
      <c r="C46" s="10" t="inlineStr">
        <is>
          <t>הרמות עקבים חד-רגלי במדרגה</t>
        </is>
      </c>
      <c r="D46" s="10" t="inlineStr">
        <is>
          <t>Single-Leg Calf Raise</t>
        </is>
      </c>
      <c r="E46" s="9" t="inlineStr">
        <is>
          <t>מדרגה, דאמבל ביד</t>
        </is>
      </c>
      <c r="F46" s="10" t="inlineStr">
        <is>
          <t>חיזוק גיד אכילס ושריר התאומים, קריטי לניתור ויציאה מהמקום.</t>
        </is>
      </c>
      <c r="G46" s="10" t="inlineStr">
        <is>
          <t>חיזוק גיד אכילס ומניעת פציעות קרסול</t>
        </is>
      </c>
    </row>
    <row r="47">
      <c r="A47" s="11" t="inlineStr">
        <is>
          <t>כוח - פלג גוף תחתון</t>
        </is>
      </c>
      <c r="B47" s="11" t="inlineStr">
        <is>
          <t>שוקיים וכף הרגל</t>
        </is>
      </c>
      <c r="C47" s="12" t="inlineStr">
        <is>
          <t>הרמת קדמת כף הרגל כנגד קיר</t>
        </is>
      </c>
      <c r="D47" s="12" t="inlineStr">
        <is>
          <t>Tibialis Raises</t>
        </is>
      </c>
      <c r="E47" s="11" t="inlineStr">
        <is>
          <t>קיר / מכשיר ייעודי</t>
        </is>
      </c>
      <c r="F47" s="12" t="inlineStr">
        <is>
          <t>חיזוק השריר הטיביאליס קדמי לבלימת זעזועים בריצה על משטחים קשים.</t>
        </is>
      </c>
      <c r="G47" s="12" t="inlineStr">
        <is>
          <t>מניעת שין ספלינט (Shin Splints)</t>
        </is>
      </c>
    </row>
    <row r="48">
      <c r="A48" s="9" t="inlineStr">
        <is>
          <t>כוח - פלג גוף תחתון</t>
        </is>
      </c>
      <c r="B48" s="9" t="inlineStr">
        <is>
          <t>שוקיים וכף הרגל</t>
        </is>
      </c>
      <c r="C48" s="10" t="inlineStr">
        <is>
          <t>הרמת עקבים בישיבה (סולאוס)</t>
        </is>
      </c>
      <c r="D48" s="10" t="inlineStr">
        <is>
          <t>Seated Calf Raise</t>
        </is>
      </c>
      <c r="E48" s="9" t="inlineStr">
        <is>
          <t>מכונה או דאמבל על הברכיים</t>
        </is>
      </c>
      <c r="F48" s="10" t="inlineStr">
        <is>
          <t>מבודד את שריר הסולאוס (העמוק יותר בשוק) שסופג עומסים אדירים בריצה ארוכה.</t>
        </is>
      </c>
      <c r="G48" s="10" t="inlineStr">
        <is>
          <t>יציבות ריצה ומניעת פציעות גיד אכילס עמוק</t>
        </is>
      </c>
    </row>
    <row r="49">
      <c r="A49" s="11" t="inlineStr">
        <is>
          <t>כוח - פלג גוף עליון וליבה</t>
        </is>
      </c>
      <c r="B49" s="11" t="inlineStr">
        <is>
          <t>לחיצות (Push)</t>
        </is>
      </c>
      <c r="C49" s="12" t="inlineStr">
        <is>
          <t>לחיצת חזה עם דאמבלים</t>
        </is>
      </c>
      <c r="D49" s="12" t="inlineStr">
        <is>
          <t>Dumbbell Bench Press</t>
        </is>
      </c>
      <c r="E49" s="11" t="inlineStr">
        <is>
          <t>ספסל שטוח, דאמבלים</t>
        </is>
      </c>
      <c r="F49" s="12" t="inlineStr">
        <is>
          <t>מאפשר תנועה חופשית בכתף ועבודה על חוסר איזון בהשוואה למוט.</t>
        </is>
      </c>
      <c r="G49" s="12" t="inlineStr">
        <is>
          <t>כוח פלג גוף עליון כללי ומאבקי כתף</t>
        </is>
      </c>
    </row>
    <row r="50">
      <c r="A50" s="9" t="inlineStr">
        <is>
          <t>כוח - פלג גוף עליון וליבה</t>
        </is>
      </c>
      <c r="B50" s="9" t="inlineStr">
        <is>
          <t>לחיצות (Push)</t>
        </is>
      </c>
      <c r="C50" s="10" t="inlineStr">
        <is>
          <t>לחיצה חד-ידית בעמידה עם מוט לנדמיין</t>
        </is>
      </c>
      <c r="D50" s="10" t="inlineStr">
        <is>
          <t>Single-Arm Landmine Press</t>
        </is>
      </c>
      <c r="E50" s="9" t="inlineStr">
        <is>
          <t>מוט אולימפי, תושבת לנדמיין</t>
        </is>
      </c>
      <c r="F50" s="10" t="inlineStr">
        <is>
          <t>תנועה אלכסונית המשלבת דחיפה של היד יחד עם כוח אנטי-רוטציוני מהליבה.</t>
        </is>
      </c>
      <c r="G50" s="10" t="inlineStr">
        <is>
          <t>מדמה דחיפת יריב ומאבקי מיקום</t>
        </is>
      </c>
    </row>
    <row r="51">
      <c r="A51" s="11" t="inlineStr">
        <is>
          <t>כוח - פלג גוף עליון וליבה</t>
        </is>
      </c>
      <c r="B51" s="11" t="inlineStr">
        <is>
          <t>לחיצות (Push)</t>
        </is>
      </c>
      <c r="C51" s="12" t="inlineStr">
        <is>
          <t>שכיבות סמיכה עם הגבהה ורוטציה</t>
        </is>
      </c>
      <c r="D51" s="12" t="inlineStr">
        <is>
          <t>Deficit Push-Up with Rotation</t>
        </is>
      </c>
      <c r="E51" s="11" t="inlineStr">
        <is>
          <t>קוביות הגבהה / דאמבלים</t>
        </is>
      </c>
      <c r="F51" s="12" t="inlineStr">
        <is>
          <t>הגדלת טווח תנועה בחזה ובכתף ופיתוח תנועתיות בעמוד השדרה הטורקלי.</t>
        </is>
      </c>
      <c r="G51" s="12" t="inlineStr">
        <is>
          <t>יציבות חגורת כתפיים ותנועתיות גו</t>
        </is>
      </c>
    </row>
    <row r="52">
      <c r="A52" s="9" t="inlineStr">
        <is>
          <t>כוח - פלג גוף עליון וליבה</t>
        </is>
      </c>
      <c r="B52" s="9" t="inlineStr">
        <is>
          <t>לחיצות (Push)</t>
        </is>
      </c>
      <c r="C52" s="10" t="inlineStr">
        <is>
          <t>לחיצת כתפיים בעמידה עם דאמבלים</t>
        </is>
      </c>
      <c r="D52" s="10" t="inlineStr">
        <is>
          <t>Standing Dumbbell Overhead Press</t>
        </is>
      </c>
      <c r="E52" s="9" t="inlineStr">
        <is>
          <t>דאמבלים</t>
        </is>
      </c>
      <c r="F52" s="10" t="inlineStr">
        <is>
          <t>פיתוח כוח אנכי לפלג גוף עליון, דורש ייצוב חזק מאוד מהליבה בעמידה.</t>
        </is>
      </c>
      <c r="G52" s="10" t="inlineStr">
        <is>
          <t>יציבות פלג גוף עליון בריצה מתוחה ונגיחות</t>
        </is>
      </c>
    </row>
    <row r="53">
      <c r="A53" s="11" t="inlineStr">
        <is>
          <t>כוח - פלג גוף עליון וליבה</t>
        </is>
      </c>
      <c r="B53" s="11" t="inlineStr">
        <is>
          <t>לחיצות (Push)</t>
        </is>
      </c>
      <c r="C53" s="12" t="inlineStr">
        <is>
          <t>מקבילים עם משקל גוף / תוספת משקל</t>
        </is>
      </c>
      <c r="D53" s="12" t="inlineStr">
        <is>
          <t>Dips</t>
        </is>
      </c>
      <c r="E53" s="11" t="inlineStr">
        <is>
          <t>מתקן מקבילים</t>
        </is>
      </c>
      <c r="F53" s="12" t="inlineStr">
        <is>
          <t>בניית כוח מתפרץ ומאסיבי בחלק התחתון של החזה, הכתף הקדמית והיד האחורית.</t>
        </is>
      </c>
      <c r="G53" s="12" t="inlineStr">
        <is>
          <t>חוסן פלג גוף עליון במגע</t>
        </is>
      </c>
    </row>
    <row r="54">
      <c r="A54" s="9" t="inlineStr">
        <is>
          <t>כוח - פלג גוף עליון וליבה</t>
        </is>
      </c>
      <c r="B54" s="9" t="inlineStr">
        <is>
          <t>משיכות (Pull)</t>
        </is>
      </c>
      <c r="C54" s="10" t="inlineStr">
        <is>
          <t>עליות מתח באחיזה ניטרלית</t>
        </is>
      </c>
      <c r="D54" s="10" t="inlineStr">
        <is>
          <t>Neutral Grip Pull-Ups</t>
        </is>
      </c>
      <c r="E54" s="9" t="inlineStr">
        <is>
          <t>מתקן מתח</t>
        </is>
      </c>
      <c r="F54" s="10" t="inlineStr">
        <is>
          <t>חיזוק הרחב גבי והזרועות, תורם ליציבה נכונה וזקופה בריצה.</t>
        </is>
      </c>
      <c r="G54" s="10" t="inlineStr">
        <is>
          <t>כוח משיכה אנכי יציב</t>
        </is>
      </c>
    </row>
    <row r="55">
      <c r="A55" s="11" t="inlineStr">
        <is>
          <t>כוח - פלג גוף עליון וליבה</t>
        </is>
      </c>
      <c r="B55" s="11" t="inlineStr">
        <is>
          <t>משיכות (Pull)</t>
        </is>
      </c>
      <c r="C55" s="12" t="inlineStr">
        <is>
          <t>חתירה עם דאמבל ביד אחת</t>
        </is>
      </c>
      <c r="D55" s="12" t="inlineStr">
        <is>
          <t>Single-Arm Dumbbell Row</t>
        </is>
      </c>
      <c r="E55" s="11" t="inlineStr">
        <is>
          <t>ספסל, דאמבל</t>
        </is>
      </c>
      <c r="F55" s="12" t="inlineStr">
        <is>
          <t>מניעת סיבוב של הגוף בזמן החתירה, חיזוק הגב העליון והמייצבים.</t>
        </is>
      </c>
      <c r="G55" s="12" t="inlineStr">
        <is>
          <t>כוח משיכה אופקי אסימטרי</t>
        </is>
      </c>
    </row>
    <row r="56">
      <c r="A56" s="9" t="inlineStr">
        <is>
          <t>כוח - פלג גוף עליון וליבה</t>
        </is>
      </c>
      <c r="B56" s="9" t="inlineStr">
        <is>
          <t>משיכות (Pull)</t>
        </is>
      </c>
      <c r="C56" s="10" t="inlineStr">
        <is>
          <t>חתירה הפוכה כנגד משקל גוף</t>
        </is>
      </c>
      <c r="D56" s="10" t="inlineStr">
        <is>
          <t>Inverted Row (TRX/Bar)</t>
        </is>
      </c>
      <c r="E56" s="9" t="inlineStr">
        <is>
          <t>רצועות TRX או מוט בכלוב</t>
        </is>
      </c>
      <c r="F56" s="10" t="inlineStr">
        <is>
          <t>תרגיל מצוין לעבודה כנגד משקל גוף, דורש שמירה על קו גוף ישר (פלאנק).</t>
        </is>
      </c>
      <c r="G56" s="10" t="inlineStr">
        <is>
          <t>חיזוק שרשרת אחורית עליונה</t>
        </is>
      </c>
    </row>
    <row r="57">
      <c r="A57" s="11" t="inlineStr">
        <is>
          <t>כוח - פלג גוף עליון וליבה</t>
        </is>
      </c>
      <c r="B57" s="11" t="inlineStr">
        <is>
          <t>משיכות (Pull)</t>
        </is>
      </c>
      <c r="C57" s="12" t="inlineStr">
        <is>
          <t>משיכת פנים עם חבל (פולי או גומייה)</t>
        </is>
      </c>
      <c r="D57" s="12" t="inlineStr">
        <is>
          <t>Face Pulls</t>
        </is>
      </c>
      <c r="E57" s="11" t="inlineStr">
        <is>
          <t>כבל פולי / גומייה</t>
        </is>
      </c>
      <c r="F57" s="12" t="inlineStr">
        <is>
          <t>תרגיל קריטי לבריאות הכתף האחורית, הטרפזים והרוטטור קאף (שרוול המסובבים).</t>
        </is>
      </c>
      <c r="G57" s="12" t="inlineStr">
        <is>
          <t>מניעת פציעות כתף ושיפור יציבה זקופה</t>
        </is>
      </c>
    </row>
    <row r="58">
      <c r="A58" s="9" t="inlineStr">
        <is>
          <t>כוח - פלג גוף עליון וליבה</t>
        </is>
      </c>
      <c r="B58" s="9" t="inlineStr">
        <is>
          <t>משיכות (Pull)</t>
        </is>
      </c>
      <c r="C58" s="10" t="inlineStr">
        <is>
          <t>חתירת פנדליי כבדה (לכוח)</t>
        </is>
      </c>
      <c r="D58" s="10" t="inlineStr">
        <is>
          <t>Pendlay Row</t>
        </is>
      </c>
      <c r="E58" s="9" t="inlineStr">
        <is>
          <t>מוט אולימפי, פלטות</t>
        </is>
      </c>
      <c r="F58" s="10" t="inlineStr">
        <is>
          <t>חתירה מהרצפה בכל חזרה, מפתח כוח אופקי מתפרץ בגב העליון והתחתון.</t>
        </is>
      </c>
      <c r="G58" s="10" t="inlineStr">
        <is>
          <t>בניית גב חזק ועמיד למאבקים פיזיים</t>
        </is>
      </c>
    </row>
    <row r="59">
      <c r="A59" s="11" t="inlineStr">
        <is>
          <t>כוח - פלג גוף עליון וליבה</t>
        </is>
      </c>
      <c r="B59" s="11" t="inlineStr">
        <is>
          <t>ליבה פונקציונלית (Core)</t>
        </is>
      </c>
      <c r="C59" s="12" t="inlineStr">
        <is>
          <t>לחיצת פאלוף עם גומייה/פולי</t>
        </is>
      </c>
      <c r="D59" s="12" t="inlineStr">
        <is>
          <t>Pallof Press</t>
        </is>
      </c>
      <c r="E59" s="11" t="inlineStr">
        <is>
          <t>גומייה או קרוס-אובר</t>
        </is>
      </c>
      <c r="F59" s="12" t="inlineStr">
        <is>
          <t>אימון ליבה במנח אנטי-רוטציה. מלמד את הגוף להתנגד לכוחות סיבוב של יריב.</t>
        </is>
      </c>
      <c r="G59" s="12" t="inlineStr">
        <is>
          <t>יציבות ליבה אנטי-רוטציונית</t>
        </is>
      </c>
    </row>
    <row r="60">
      <c r="A60" s="9" t="inlineStr">
        <is>
          <t>כוח - פלג גוף עליון וליבה</t>
        </is>
      </c>
      <c r="B60" s="9" t="inlineStr">
        <is>
          <t>ליבה פונקציונלית (Core)</t>
        </is>
      </c>
      <c r="C60" s="10" t="inlineStr">
        <is>
          <t>פלאנק צידי עם הרמת רגל עליונה</t>
        </is>
      </c>
      <c r="D60" s="10" t="inlineStr">
        <is>
          <t>Side Plank with Leg Lift</t>
        </is>
      </c>
      <c r="E60" s="9" t="inlineStr">
        <is>
          <t>מזרן</t>
        </is>
      </c>
      <c r="F60" s="10" t="inlineStr">
        <is>
          <t>חיזוק שרירי הליבה הלטרליים וה-Gluteus Medius בו זמנית.</t>
        </is>
      </c>
      <c r="G60" s="10" t="inlineStr">
        <is>
          <t>ייצוב אגן לטרלי בריצה ובעיטה</t>
        </is>
      </c>
    </row>
    <row r="61">
      <c r="A61" s="11" t="inlineStr">
        <is>
          <t>כוח - פלג גוף עליון וליבה</t>
        </is>
      </c>
      <c r="B61" s="11" t="inlineStr">
        <is>
          <t>ליבה פונקציונלית (Core)</t>
        </is>
      </c>
      <c r="C61" s="12" t="inlineStr">
        <is>
          <t>הליכת איכר עם משקל ביד אחת</t>
        </is>
      </c>
      <c r="D61" s="12" t="inlineStr">
        <is>
          <t>Suitcase Carry</t>
        </is>
      </c>
      <c r="E61" s="11" t="inlineStr">
        <is>
          <t>דאמבל כבד או קטלבל</t>
        </is>
      </c>
      <c r="F61" s="12" t="inlineStr">
        <is>
          <t>הליכה ישר תוך התנגדות לקריסה הצידה. מחזק את הליבה העמוקה והאחיזה.</t>
        </is>
      </c>
      <c r="G61" s="12" t="inlineStr">
        <is>
          <t>יציבות דינמית בעמידה וריצה</t>
        </is>
      </c>
    </row>
    <row r="62">
      <c r="A62" s="9" t="inlineStr">
        <is>
          <t>כוח - פלג גוף עליון וליבה</t>
        </is>
      </c>
      <c r="B62" s="9" t="inlineStr">
        <is>
          <t>ליבה פונקציונלית (Core)</t>
        </is>
      </c>
      <c r="C62" s="10" t="inlineStr">
        <is>
          <t>גלגול בטן עם גלגל / ברבל</t>
        </is>
      </c>
      <c r="D62" s="10" t="inlineStr">
        <is>
          <t>Ab Wheel Rollout</t>
        </is>
      </c>
      <c r="E62" s="9" t="inlineStr">
        <is>
          <t>גלגל בטן / מוט עם פלטות</t>
        </is>
      </c>
      <c r="F62" s="10" t="inlineStr">
        <is>
          <t>תרגיל אנטי-אקסטנשן עוצמתי (מניעת פשיטת יתר של הגב). שומר על בריאות הגב התחתון בספרינטים.</t>
        </is>
      </c>
      <c r="G62" s="10" t="inlineStr">
        <is>
          <t>חיזוק קיר בטן קדמי עמוק ומניעת כאבי גב</t>
        </is>
      </c>
    </row>
    <row r="63">
      <c r="A63" s="11" t="inlineStr">
        <is>
          <t>כוח - פלג גוף עליון וליבה</t>
        </is>
      </c>
      <c r="B63" s="11" t="inlineStr">
        <is>
          <t>ליבה פונקציונלית (Core)</t>
        </is>
      </c>
      <c r="C63" s="12" t="inlineStr">
        <is>
          <t>פלאנק 'מנשר' דינמי</t>
        </is>
      </c>
      <c r="D63" s="12" t="inlineStr">
        <is>
          <t>Stir the Pot (on Swiss Ball)</t>
        </is>
      </c>
      <c r="E63" s="11" t="inlineStr">
        <is>
          <t>כדור פיטבול</t>
        </is>
      </c>
      <c r="F63" s="12" t="inlineStr">
        <is>
          <t>מנח פלאנק כאשר המרפקים על כדור פיטבול ומבצעים תנועות סיבוביות. אתגר ליבה פסיכי.</t>
        </is>
      </c>
      <c r="G63" s="12" t="inlineStr">
        <is>
          <t>יציבות ליבה דינמית במצבים משתנים</t>
        </is>
      </c>
    </row>
    <row r="64">
      <c r="A64" s="9" t="inlineStr">
        <is>
          <t>אירובי וסיבולת</t>
        </is>
      </c>
      <c r="B64" s="9" t="inlineStr">
        <is>
          <t>אינטרוולים ומתודיקות (MAS)</t>
        </is>
      </c>
      <c r="C64" s="10" t="inlineStr">
        <is>
          <t>אינטרוולים לפי מהירות אירובית מרבית</t>
        </is>
      </c>
      <c r="D64" s="10" t="inlineStr">
        <is>
          <t>MAS Intervals (15s/15s)</t>
        </is>
      </c>
      <c r="E64" s="9" t="inlineStr">
        <is>
          <t>שעון עצר, קונוסים במרחקים מוגדרים</t>
        </is>
      </c>
      <c r="F64" s="10" t="inlineStr">
        <is>
          <t>ריצה ב-120% ממהירות MAS ל-15 שניות, ו-15 שניות מנוחה פסיבית. משפר צריכת חמצן מרבית.</t>
        </is>
      </c>
      <c r="G64" s="10" t="inlineStr">
        <is>
          <t>שיפור נפח פעימה וסיבולת לב-ריאה למשחק</t>
        </is>
      </c>
    </row>
    <row r="65">
      <c r="A65" s="11" t="inlineStr">
        <is>
          <t>אירובי וסיבולת</t>
        </is>
      </c>
      <c r="B65" s="11" t="inlineStr">
        <is>
          <t>אינטרוולים ומתודיקות (MAS)</t>
        </is>
      </c>
      <c r="C65" s="12" t="inlineStr">
        <is>
          <t>ריצות שאטל הלוך-חזור</t>
        </is>
      </c>
      <c r="D65" s="12" t="inlineStr">
        <is>
          <t>Shuttle Runs (Repeat Sprint Ability)</t>
        </is>
      </c>
      <c r="E65" s="11" t="inlineStr">
        <is>
          <t>קונוסים במרחק 20 מטר</t>
        </is>
      </c>
      <c r="F65" s="12" t="inlineStr">
        <is>
          <t>ספרינט של 20 מטר, בלימה, סיבוב וחזרה. מפתח סבילות לחומצת חלב ויכולת שינוי כיוון תחת עייפות.</t>
        </is>
      </c>
      <c r="G65" s="12" t="inlineStr">
        <is>
          <t>סבילות לקטית וכושר ספציפי לכדורגל</t>
        </is>
      </c>
    </row>
    <row r="66">
      <c r="A66" s="9" t="inlineStr">
        <is>
          <t>אירובי וסיבולת</t>
        </is>
      </c>
      <c r="B66" s="9" t="inlineStr">
        <is>
          <t>אינטרוולים ומתודיקות (MAS)</t>
        </is>
      </c>
      <c r="C66" s="10" t="inlineStr">
        <is>
          <t>פרוטוקול אינטרוולים 4x4 דקות</t>
        </is>
      </c>
      <c r="D66" s="10" t="inlineStr">
        <is>
          <t>4x4 Mins High-Intensity Intervals</t>
        </is>
      </c>
      <c r="E66" s="9" t="inlineStr">
        <is>
          <t>מגרש / הליכון, מד דופק</t>
        </is>
      </c>
      <c r="F66" s="10" t="inlineStr">
        <is>
          <t>4 סבבים של 4 דקות דופק גבוה (90-95% מדופק מקסימלי) עם 3 דקות ריצה קלה ביניהם. שיטה מוכחת מחקרית לשיפור VO2 Max בכדורגל.</t>
        </is>
      </c>
      <c r="G66" s="10" t="inlineStr">
        <is>
          <t>שיפור נפח לב וסיבולת אירובית בסיסית וגבוהה</t>
        </is>
      </c>
    </row>
    <row r="67">
      <c r="A67" s="11" t="inlineStr">
        <is>
          <t>אירובי וסיבולת</t>
        </is>
      </c>
      <c r="B67" s="11" t="inlineStr">
        <is>
          <t>תרגילי סטודיו ומכשירים</t>
        </is>
      </c>
      <c r="C67" s="12" t="inlineStr">
        <is>
          <t>ספרינטים על אופני אסולט</t>
        </is>
      </c>
      <c r="D67" s="12" t="inlineStr">
        <is>
          <t>Assault Bike Sprints</t>
        </is>
      </c>
      <c r="E67" s="11" t="inlineStr">
        <is>
          <t>אופני Assault Bike</t>
        </is>
      </c>
      <c r="F67" s="12" t="inlineStr">
        <is>
          <t>10-20 שניות של מאמץ מקסימלי (All-out), מנוחה של 40-60 שניות. אימון אנאירובי אלקטי/לקטי ללא אימפקט.</t>
        </is>
      </c>
      <c r="G67" s="12" t="inlineStr">
        <is>
          <t>פיתוח הספק אנאירובי ללא עומס מפרקי</t>
        </is>
      </c>
    </row>
    <row r="68">
      <c r="A68" s="9" t="inlineStr">
        <is>
          <t>אירובי וסיבולת</t>
        </is>
      </c>
      <c r="B68" s="9" t="inlineStr">
        <is>
          <t>תרגילי סטודיו ומכשירים</t>
        </is>
      </c>
      <c r="C68" s="10" t="inlineStr">
        <is>
          <t>דחיפת מזחלת כוח עצימה</t>
        </is>
      </c>
      <c r="D68" s="10" t="inlineStr">
        <is>
          <t>Heavy Sled Push</t>
        </is>
      </c>
      <c r="E68" s="9" t="inlineStr">
        <is>
          <t>מזחלת כוח, מסלול דשא סינתטי</t>
        </is>
      </c>
      <c r="F68" s="10" t="inlineStr">
        <is>
          <t>דחיפת משקל כבד למרחק 15-20 מטר במהירות מקסימלית. משלב כוח, כוח מתפרץ וסיבולת שרירית.</t>
        </is>
      </c>
      <c r="G68" s="10" t="inlineStr">
        <is>
          <t>כושר שרירי ספציפי לתאוצה</t>
        </is>
      </c>
    </row>
    <row r="69">
      <c r="A69" s="11" t="inlineStr">
        <is>
          <t>אירובי וסיבולת</t>
        </is>
      </c>
      <c r="B69" s="11" t="inlineStr">
        <is>
          <t>תרגילי סטודיו ומכשירים</t>
        </is>
      </c>
      <c r="C69" s="12" t="inlineStr">
        <is>
          <t>אינטרוולים במכשיר חתירה</t>
        </is>
      </c>
      <c r="D69" s="12" t="inlineStr">
        <is>
          <t>Rowing Machine Intervals (500m)</t>
        </is>
      </c>
      <c r="E69" s="11" t="inlineStr">
        <is>
          <t>מכשיר חתירה (Concept2)</t>
        </is>
      </c>
      <c r="F69" s="12" t="inlineStr">
        <is>
          <t>חתירה בעצימות גבוהה ל-500 מטר, מנוחה של 90 שניות, חזרה 4-6 פעמים. עבודה אירובית על כל הגוף.</t>
        </is>
      </c>
      <c r="G69" s="12" t="inlineStr">
        <is>
          <t>סיבולת לב ריאה וסבילות שרירית לפלג גוף עליון ותחתון</t>
        </is>
      </c>
    </row>
    <row r="70">
      <c r="A70" s="9" t="inlineStr">
        <is>
          <t>אירובי וסיבולת</t>
        </is>
      </c>
      <c r="B70" s="9" t="inlineStr">
        <is>
          <t>תרגילי סטודיו ומכשירים</t>
        </is>
      </c>
      <c r="C70" s="10" t="inlineStr">
        <is>
          <t>גרירת מזחלת לאחור (סבולת שריר)</t>
        </is>
      </c>
      <c r="D70" s="10" t="inlineStr">
        <is>
          <t>Backward Sled Drag</t>
        </is>
      </c>
      <c r="E70" s="9" t="inlineStr">
        <is>
          <t>מזחלת כוח, רצועות אחיזה</t>
        </is>
      </c>
      <c r="F70" s="10" t="inlineStr">
        <is>
          <t>הליכה/ריצה לאחור תוך גרירת מזחלת. יוצר עומס מטבולי עצום על הארבע-ראשי ללא עומס על הברך.</t>
        </is>
      </c>
      <c r="G70" s="10" t="inlineStr">
        <is>
          <t>פיתוח סיבולת שריר בארבע-ראשי ובניית חוסן ברכיים</t>
        </is>
      </c>
    </row>
  </sheetData>
  <autoFilter ref="A1:G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2026-06-22T07:46:09Z</dcterms:created>
  <dcterms:modified xmlns:dcterms="http://purl.org/dc/terms/" xmlns:xsi="http://www.w3.org/2001/XMLSchema-instance" xsi:type="dcterms:W3CDTF">2026-06-22T07:46:09Z</dcterms:modified>
</cp:coreProperties>
</file>